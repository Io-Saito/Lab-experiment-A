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801CCD77-7B78-1753-DF39-40050F3742D7}"/>
  <workbookPr filterPrivacy="1" codeName="ThisWorkbook" autoCompressPictures="0"/>
  <xr:revisionPtr revIDLastSave="0" documentId="13_ncr:1_{EDFE601E-E9FE-1141-A767-CAEEC5D3ED36}" xr6:coauthVersionLast="45" xr6:coauthVersionMax="45" xr10:uidLastSave="{00000000-0000-0000-0000-000000000000}"/>
  <bookViews>
    <workbookView xWindow="7680" yWindow="2180" windowWidth="18480" windowHeight="11020" xr2:uid="{00000000-000D-0000-FFFF-FFFF00000000}"/>
  </bookViews>
  <sheets>
    <sheet name="はさみうち" sheetId="3" r:id="rId1"/>
    <sheet name="はさみうち (課題用)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8" i="5" l="1"/>
  <c r="L8" i="5"/>
  <c r="C8" i="5"/>
</calcChain>
</file>

<file path=xl/sharedStrings.xml><?xml version="1.0" encoding="utf-8"?>
<sst xmlns="http://schemas.openxmlformats.org/spreadsheetml/2006/main" count="62" uniqueCount="19">
  <si>
    <r>
      <t>Antoine</t>
    </r>
    <r>
      <rPr>
        <sz val="11"/>
        <color theme="1"/>
        <rFont val="ＭＳ Ｐ明朝"/>
        <family val="1"/>
        <charset val="128"/>
      </rPr>
      <t>定数</t>
    </r>
    <rPh sb="7" eb="9">
      <t>テイスウ</t>
    </rPh>
    <phoneticPr fontId="3"/>
  </si>
  <si>
    <t>AN</t>
    <phoneticPr fontId="3"/>
  </si>
  <si>
    <t>CN</t>
    <phoneticPr fontId="3"/>
  </si>
  <si>
    <t>AM</t>
    <phoneticPr fontId="3"/>
  </si>
  <si>
    <t>BM</t>
    <phoneticPr fontId="3"/>
  </si>
  <si>
    <t>Ethanol(1)</t>
    <phoneticPr fontId="3"/>
  </si>
  <si>
    <r>
      <t>Margules</t>
    </r>
    <r>
      <rPr>
        <sz val="11"/>
        <color theme="1"/>
        <rFont val="ＭＳ Ｐゴシック"/>
        <family val="2"/>
      </rPr>
      <t>定数</t>
    </r>
    <rPh sb="8" eb="10">
      <t>テイスウ</t>
    </rPh>
    <phoneticPr fontId="3"/>
  </si>
  <si>
    <t>計算回数
(はさみうち)</t>
    <rPh sb="0" eb="4">
      <t>ケイサンカイスウ</t>
    </rPh>
    <phoneticPr fontId="3"/>
  </si>
  <si>
    <t>BN</t>
    <phoneticPr fontId="3"/>
  </si>
  <si>
    <t>Water(2)</t>
    <phoneticPr fontId="3"/>
  </si>
  <si>
    <r>
      <t>2</t>
    </r>
    <r>
      <rPr>
        <sz val="24"/>
        <rFont val="ＭＳ Ｐゴシック"/>
        <family val="2"/>
      </rPr>
      <t>成分（エタノール＋水）系沸点計算</t>
    </r>
    <r>
      <rPr>
        <sz val="24"/>
        <rFont val="Times New Roman"/>
        <family val="1"/>
      </rPr>
      <t/>
    </r>
    <rPh sb="1" eb="3">
      <t>セイブン</t>
    </rPh>
    <rPh sb="10" eb="11">
      <t>スイ</t>
    </rPh>
    <rPh sb="12" eb="13">
      <t>ケイ</t>
    </rPh>
    <rPh sb="13" eb="15">
      <t>フッテン</t>
    </rPh>
    <rPh sb="15" eb="17">
      <t>ケイサン</t>
    </rPh>
    <phoneticPr fontId="3"/>
  </si>
  <si>
    <r>
      <rPr>
        <sz val="11"/>
        <color theme="1"/>
        <rFont val="ＭＳ Ｐ明朝"/>
        <family val="1"/>
        <charset val="128"/>
      </rPr>
      <t>沸点</t>
    </r>
    <r>
      <rPr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b</t>
    </r>
    <r>
      <rPr>
        <sz val="11"/>
        <color theme="1"/>
        <rFont val="ＭＳ Ｐ明朝"/>
        <family val="1"/>
        <charset val="128"/>
      </rPr>
      <t xml:space="preserve">
</t>
    </r>
    <r>
      <rPr>
        <sz val="11"/>
        <color theme="1"/>
        <rFont val="Times New Roman"/>
        <family val="1"/>
      </rPr>
      <t>[K]</t>
    </r>
    <rPh sb="0" eb="2">
      <t>フッテン</t>
    </rPh>
    <phoneticPr fontId="3"/>
  </si>
  <si>
    <r>
      <rPr>
        <sz val="11"/>
        <color theme="1"/>
        <rFont val="ＭＳ Ｐ明朝"/>
        <family val="1"/>
        <charset val="128"/>
      </rPr>
      <t>沸点</t>
    </r>
    <r>
      <rPr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b</t>
    </r>
    <r>
      <rPr>
        <sz val="11"/>
        <color theme="1"/>
        <rFont val="Times New Roman"/>
        <family val="1"/>
      </rPr>
      <t xml:space="preserve">
[K]</t>
    </r>
    <rPh sb="0" eb="2">
      <t>フッテン</t>
    </rPh>
    <phoneticPr fontId="3"/>
  </si>
  <si>
    <r>
      <rPr>
        <sz val="11"/>
        <color theme="1"/>
        <rFont val="ＭＳ Ｐ明朝"/>
        <family val="1"/>
        <charset val="128"/>
      </rPr>
      <t>沸点</t>
    </r>
    <r>
      <rPr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b</t>
    </r>
    <r>
      <rPr>
        <sz val="11"/>
        <color theme="1"/>
        <rFont val="Times New Roman"/>
        <family val="1"/>
      </rPr>
      <t xml:space="preserve">
[°C]</t>
    </r>
    <rPh sb="0" eb="2">
      <t>フッテン</t>
    </rPh>
    <phoneticPr fontId="3"/>
  </si>
  <si>
    <t>Methanol(1)</t>
    <phoneticPr fontId="3"/>
  </si>
  <si>
    <r>
      <t>2</t>
    </r>
    <r>
      <rPr>
        <sz val="24"/>
        <rFont val="ＭＳ Ｐゴシック"/>
        <family val="2"/>
      </rPr>
      <t>成分（エタノール＋水）系沸点計算／</t>
    </r>
    <r>
      <rPr>
        <sz val="24"/>
        <rFont val="Times New Roman"/>
        <family val="1"/>
      </rPr>
      <t>2</t>
    </r>
    <r>
      <rPr>
        <sz val="24"/>
        <rFont val="ＭＳ Ｐゴシック"/>
        <family val="2"/>
      </rPr>
      <t>成分（メタノール＋水）系沸点計算／</t>
    </r>
    <r>
      <rPr>
        <sz val="24"/>
        <rFont val="Times New Roman"/>
        <family val="1"/>
      </rPr>
      <t>2</t>
    </r>
    <r>
      <rPr>
        <sz val="24"/>
        <rFont val="ＭＳ Ｐゴシック"/>
        <family val="2"/>
      </rPr>
      <t>成分（アセトン＋水）系沸点計算</t>
    </r>
    <rPh sb="1" eb="3">
      <t>セイブン</t>
    </rPh>
    <rPh sb="10" eb="11">
      <t>スイ</t>
    </rPh>
    <rPh sb="12" eb="13">
      <t>ケイ</t>
    </rPh>
    <rPh sb="13" eb="15">
      <t>フッテン</t>
    </rPh>
    <rPh sb="15" eb="17">
      <t>ケイサン</t>
    </rPh>
    <phoneticPr fontId="3"/>
  </si>
  <si>
    <t>Acetone(1)</t>
    <phoneticPr fontId="3"/>
  </si>
  <si>
    <t>Water(2)</t>
    <phoneticPr fontId="3"/>
  </si>
  <si>
    <r>
      <rPr>
        <sz val="11"/>
        <color theme="1"/>
        <rFont val="ＭＳ Ｐ明朝"/>
        <family val="1"/>
        <charset val="128"/>
      </rPr>
      <t>組成</t>
    </r>
    <r>
      <rPr>
        <i/>
        <sz val="11"/>
        <color theme="1"/>
        <rFont val="Times New Roman"/>
        <family val="1"/>
      </rPr>
      <t>x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 xml:space="preserve">
[-]</t>
    </r>
    <rPh sb="0" eb="2">
      <t>ソセイ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</si>
</sst>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00_ "/>
    <numFmt numFmtId="178" formatCode="0.00_);[Red]\(0.00\)"/>
    <numFmt numFmtId="179" formatCode="0.000_);[Red]\(0.000\)"/>
    <numFmt numFmtId="180" formatCode="0.0_ "/>
    <numFmt numFmtId="181" formatCode="0.000_ "/>
    <numFmt numFmtId="182" formatCode="0.000000_);[Red]\(0.000000\)"/>
    <numFmt numFmtId="183" formatCode="0_);[Red]\(0\)"/>
  </numFmts>
  <fonts count="12">
    <font>
      <sz val="11"/>
      <color theme="1"/>
      <name val="ＭＳ Ｐゴシック"/>
      <family val="2"/>
      <scheme val="minor"/>
    </font>
    <font>
      <sz val="24"/>
      <name val="Times New Roman"/>
      <family val="1"/>
    </font>
    <font>
      <sz val="24"/>
      <name val="ＭＳ Ｐゴシック"/>
      <family val="2"/>
    </font>
    <font>
      <sz val="6"/>
      <name val="ＭＳ Ｐゴシック"/>
      <family val="3"/>
      <charset val="128"/>
      <scheme val="minor"/>
    </font>
    <font>
      <sz val="11"/>
      <color theme="1"/>
      <name val="Times New Roman"/>
      <family val="1"/>
    </font>
    <font>
      <sz val="11"/>
      <color theme="1"/>
      <name val="ＭＳ Ｐ明朝"/>
      <family val="1"/>
      <charset val="128"/>
    </font>
    <font>
      <sz val="11"/>
      <color theme="1"/>
      <name val="ＭＳ Ｐゴシック"/>
      <family val="2"/>
    </font>
    <font>
      <b/>
      <sz val="11"/>
      <color theme="0"/>
      <name val="Times New Roman"/>
      <family val="1"/>
    </font>
    <font>
      <b/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2"/>
      <color rgb="FF000000"/>
      <name val="ＭＳ Ｐ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176" fontId="4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8" fontId="4" fillId="0" borderId="5" xfId="0" applyNumberFormat="1" applyFont="1" applyFill="1" applyBorder="1" applyAlignment="1">
      <alignment horizontal="center" vertical="center"/>
    </xf>
    <xf numFmtId="178" fontId="4" fillId="0" borderId="6" xfId="0" applyNumberFormat="1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179" fontId="4" fillId="0" borderId="5" xfId="0" applyNumberFormat="1" applyFont="1" applyBorder="1" applyAlignment="1">
      <alignment horizontal="center" vertical="center"/>
    </xf>
    <xf numFmtId="180" fontId="4" fillId="0" borderId="5" xfId="0" applyNumberFormat="1" applyFont="1" applyBorder="1" applyAlignment="1">
      <alignment horizontal="center" vertical="center"/>
    </xf>
    <xf numFmtId="181" fontId="4" fillId="0" borderId="5" xfId="0" applyNumberFormat="1" applyFont="1" applyBorder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183" fontId="4" fillId="0" borderId="0" xfId="0" applyNumberFormat="1" applyFont="1" applyAlignment="1">
      <alignment horizontal="center" vertical="center"/>
    </xf>
    <xf numFmtId="179" fontId="4" fillId="0" borderId="0" xfId="0" applyNumberFormat="1" applyFont="1" applyAlignment="1">
      <alignment horizontal="center" vertical="center"/>
    </xf>
    <xf numFmtId="0" fontId="4" fillId="2" borderId="6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/>
    </xf>
    <xf numFmtId="182" fontId="4" fillId="0" borderId="5" xfId="0" applyNumberFormat="1" applyFont="1" applyFill="1" applyBorder="1" applyAlignment="1">
      <alignment horizontal="center" vertical="center"/>
    </xf>
    <xf numFmtId="182" fontId="4" fillId="0" borderId="6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Medium9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533987379809196"/>
          <c:y val="6.7203698204637341E-2"/>
          <c:w val="0.71411704067600901"/>
          <c:h val="0.71805975417897205"/>
        </c:manualLayout>
      </c:layout>
      <c:scatterChart>
        <c:scatterStyle val="lineMarker"/>
        <c:varyColors val="0"/>
        <c:ser>
          <c:idx val="1"/>
          <c:order val="0"/>
          <c:tx>
            <c:strRef>
              <c:f>はさみうち!$D$9</c:f>
              <c:strCache>
                <c:ptCount val="1"/>
                <c:pt idx="0">
                  <c:v>沸点Tb
[K]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はさみうち!$C$10:$C$30</c:f>
              <c:numCache>
                <c:formatCode>0.00_ </c:formatCode>
                <c:ptCount val="21"/>
                <c:pt idx="1">
                  <c:v>0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  <c:pt idx="20">
                  <c:v>0.95000000000000029</c:v>
                </c:pt>
              </c:numCache>
            </c:numRef>
          </c:xVal>
          <c:yVal>
            <c:numRef>
              <c:f>はさみうち!$D$10:$D$30</c:f>
              <c:numCache>
                <c:formatCode>0.000_);[Red]\(0.000\)</c:formatCode>
                <c:ptCount val="21"/>
                <c:pt idx="1">
                  <c:v>373.29602513657818</c:v>
                </c:pt>
                <c:pt idx="2">
                  <c:v>363.94416101954761</c:v>
                </c:pt>
                <c:pt idx="3">
                  <c:v>359.65066213699515</c:v>
                </c:pt>
                <c:pt idx="4">
                  <c:v>357.35939653746249</c:v>
                </c:pt>
                <c:pt idx="5">
                  <c:v>356.02424612118097</c:v>
                </c:pt>
                <c:pt idx="6">
                  <c:v>355.18312750050723</c:v>
                </c:pt>
                <c:pt idx="7">
                  <c:v>354.60345528908607</c:v>
                </c:pt>
                <c:pt idx="8">
                  <c:v>354.16153948401791</c:v>
                </c:pt>
                <c:pt idx="9">
                  <c:v>353.79062553455094</c:v>
                </c:pt>
                <c:pt idx="10">
                  <c:v>353.45633269156372</c:v>
                </c:pt>
                <c:pt idx="11">
                  <c:v>353.14316109513317</c:v>
                </c:pt>
                <c:pt idx="12">
                  <c:v>352.84738277609938</c:v>
                </c:pt>
                <c:pt idx="13">
                  <c:v>352.57099187537818</c:v>
                </c:pt>
                <c:pt idx="14">
                  <c:v>352.31909674012718</c:v>
                </c:pt>
                <c:pt idx="15">
                  <c:v>352.0973343216545</c:v>
                </c:pt>
                <c:pt idx="16">
                  <c:v>351.91008668871279</c:v>
                </c:pt>
                <c:pt idx="17">
                  <c:v>351.75899057570888</c:v>
                </c:pt>
                <c:pt idx="18">
                  <c:v>351.64271731284521</c:v>
                </c:pt>
                <c:pt idx="19">
                  <c:v>351.55538662595643</c:v>
                </c:pt>
                <c:pt idx="20">
                  <c:v>351.48745214398883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74-4DE1-A532-0AF6E31E0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641504"/>
        <c:axId val="1890922672"/>
      </c:scatterChart>
      <c:valAx>
        <c:axId val="1716641504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x</a:t>
                </a:r>
                <a:r>
                  <a:rPr lang="en-US" baseline="-25000"/>
                  <a:t>1</a:t>
                </a:r>
                <a:r>
                  <a:rPr lang="en-US"/>
                  <a:t> [-]</a:t>
                </a:r>
                <a:endParaRPr lang="ja-JP"/>
              </a:p>
            </c:rich>
          </c:tx>
          <c:overlay val="0"/>
        </c:title>
        <c:numFmt formatCode="0.00_ " sourceLinked="1"/>
        <c:majorTickMark val="in"/>
        <c:minorTickMark val="in"/>
        <c:tickLblPos val="nextTo"/>
        <c:spPr>
          <a:ln>
            <a:solidFill>
              <a:schemeClr val="tx1"/>
            </a:solidFill>
          </a:ln>
        </c:spPr>
        <c:crossAx val="1890922672"/>
        <c:crosses val="autoZero"/>
        <c:crossBetween val="midCat"/>
      </c:valAx>
      <c:valAx>
        <c:axId val="1890922672"/>
        <c:scaling>
          <c:orientation val="minMax"/>
          <c:max val="375"/>
          <c:min val="35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 [K]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3.9344267373727503E-2"/>
              <c:y val="0.22134884398843499"/>
            </c:manualLayout>
          </c:layout>
          <c:overlay val="0"/>
        </c:title>
        <c:numFmt formatCode="#,##0.0_);[Red]\(#,##0.0\)" sourceLinked="0"/>
        <c:majorTickMark val="in"/>
        <c:minorTickMark val="in"/>
        <c:tickLblPos val="nextTo"/>
        <c:spPr>
          <a:ln>
            <a:solidFill>
              <a:schemeClr val="tx1"/>
            </a:solidFill>
          </a:ln>
        </c:spPr>
        <c:crossAx val="1716641504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1400">
          <a:latin typeface="Times New Roman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61735746609151"/>
          <c:y val="6.7203698204637341E-2"/>
          <c:w val="0.50841655078333337"/>
          <c:h val="0.71805975417897205"/>
        </c:manualLayout>
      </c:layout>
      <c:scatterChart>
        <c:scatterStyle val="lineMarker"/>
        <c:varyColors val="0"/>
        <c:ser>
          <c:idx val="1"/>
          <c:order val="0"/>
          <c:tx>
            <c:strRef>
              <c:f>'はさみうち (課題用)'!$C$8</c:f>
              <c:strCache>
                <c:ptCount val="1"/>
                <c:pt idx="0">
                  <c:v>Ethanol(1) - Water(2)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'はさみうち (課題用)'!$C$10:$C$30</c:f>
              <c:numCache>
                <c:formatCode>0.00_ </c:formatCode>
                <c:ptCount val="21"/>
              </c:numCache>
            </c:numRef>
          </c:xVal>
          <c:yVal>
            <c:numRef>
              <c:f>'はさみうち (課題用)'!$D$10:$D$30</c:f>
              <c:numCache>
                <c:formatCode>0.000_);[Red]\(0.000\)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35-4CF3-8806-F78D3F3159AA}"/>
            </c:ext>
          </c:extLst>
        </c:ser>
        <c:ser>
          <c:idx val="0"/>
          <c:order val="1"/>
          <c:tx>
            <c:strRef>
              <c:f>'はさみうち (課題用)'!$L$8</c:f>
              <c:strCache>
                <c:ptCount val="1"/>
                <c:pt idx="0">
                  <c:v>Methanol(1) - Water(2)</c:v>
                </c:pt>
              </c:strCache>
            </c:strRef>
          </c:tx>
          <c:spPr>
            <a:ln w="47625">
              <a:noFill/>
            </a:ln>
          </c:spPr>
          <c:marker>
            <c:spPr>
              <a:solidFill>
                <a:srgbClr val="0066FF"/>
              </a:solidFill>
              <a:ln>
                <a:noFill/>
              </a:ln>
            </c:spPr>
          </c:marker>
          <c:xVal>
            <c:numRef>
              <c:f>'はさみうち (課題用)'!$L$10:$L$30</c:f>
              <c:numCache>
                <c:formatCode>0.00_ </c:formatCode>
                <c:ptCount val="21"/>
              </c:numCache>
            </c:numRef>
          </c:xVal>
          <c:yVal>
            <c:numRef>
              <c:f>'はさみうち (課題用)'!$M$10:$M$30</c:f>
              <c:numCache>
                <c:formatCode>0.000_);[Red]\(0.000\)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35-4CF3-8806-F78D3F3159AA}"/>
            </c:ext>
          </c:extLst>
        </c:ser>
        <c:ser>
          <c:idx val="2"/>
          <c:order val="2"/>
          <c:tx>
            <c:strRef>
              <c:f>'はさみうち (課題用)'!$U$8</c:f>
              <c:strCache>
                <c:ptCount val="1"/>
                <c:pt idx="0">
                  <c:v>Acetone(1) - Water(2)</c:v>
                </c:pt>
              </c:strCache>
            </c:strRef>
          </c:tx>
          <c:spPr>
            <a:ln w="47625">
              <a:noFill/>
            </a:ln>
          </c:spPr>
          <c:marker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'はさみうち (課題用)'!$U$10:$U$30</c:f>
              <c:numCache>
                <c:formatCode>0.00_ </c:formatCode>
                <c:ptCount val="21"/>
              </c:numCache>
            </c:numRef>
          </c:xVal>
          <c:yVal>
            <c:numRef>
              <c:f>'はさみうち (課題用)'!$V$10:$V$30</c:f>
              <c:numCache>
                <c:formatCode>0.000_);[Red]\(0.000\)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35-4CF3-8806-F78D3F315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6432"/>
        <c:axId val="8139360"/>
      </c:scatterChart>
      <c:valAx>
        <c:axId val="814643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x</a:t>
                </a:r>
                <a:r>
                  <a:rPr lang="en-US" baseline="-25000"/>
                  <a:t>1</a:t>
                </a:r>
                <a:r>
                  <a:rPr lang="en-US"/>
                  <a:t> [-]</a:t>
                </a:r>
                <a:endParaRPr lang="ja-JP"/>
              </a:p>
            </c:rich>
          </c:tx>
          <c:overlay val="0"/>
        </c:title>
        <c:numFmt formatCode="0.00_ " sourceLinked="1"/>
        <c:majorTickMark val="in"/>
        <c:minorTickMark val="in"/>
        <c:tickLblPos val="nextTo"/>
        <c:spPr>
          <a:ln>
            <a:solidFill>
              <a:schemeClr val="tx1"/>
            </a:solidFill>
          </a:ln>
        </c:spPr>
        <c:crossAx val="8139360"/>
        <c:crosses val="autoZero"/>
        <c:crossBetween val="midCat"/>
      </c:valAx>
      <c:valAx>
        <c:axId val="8139360"/>
        <c:scaling>
          <c:orientation val="minMax"/>
          <c:max val="3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 [K]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3.9344267373727503E-2"/>
              <c:y val="0.22134884398843499"/>
            </c:manualLayout>
          </c:layout>
          <c:overlay val="0"/>
        </c:title>
        <c:numFmt formatCode="#,##0.0_);[Red]\(#,##0.0\)" sourceLinked="0"/>
        <c:majorTickMark val="in"/>
        <c:minorTickMark val="in"/>
        <c:tickLblPos val="nextTo"/>
        <c:spPr>
          <a:ln>
            <a:solidFill>
              <a:schemeClr val="tx1"/>
            </a:solidFill>
          </a:ln>
        </c:spPr>
        <c:crossAx val="814643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842125176805227"/>
          <c:y val="0.36292615238272691"/>
          <c:w val="0.25031227599704159"/>
          <c:h val="0.19942239895659164"/>
        </c:manualLayout>
      </c:layout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txPr>
    <a:bodyPr/>
    <a:lstStyle/>
    <a:p>
      <a:pPr>
        <a:defRPr sz="1400">
          <a:latin typeface="Times New Roman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8</xdr:row>
          <xdr:rowOff>203200</xdr:rowOff>
        </xdr:from>
        <xdr:to>
          <xdr:col>1</xdr:col>
          <xdr:colOff>330200</xdr:colOff>
          <xdr:row>10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沸点計算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471768</xdr:colOff>
      <xdr:row>4</xdr:row>
      <xdr:rowOff>30816</xdr:rowOff>
    </xdr:from>
    <xdr:ext cx="3502769" cy="646331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36709" y="994522"/>
          <a:ext cx="3502769" cy="646331"/>
        </a:xfrm>
        <a:prstGeom prst="rect">
          <a:avLst/>
        </a:prstGeom>
        <a:solidFill>
          <a:sysClr val="window" lastClr="FFFFFF"/>
        </a:solidFill>
        <a:ln w="28575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ln </a:t>
          </a:r>
          <a:r>
            <a:rPr kumimoji="1" lang="el-GR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γ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1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= </a:t>
          </a:r>
          <a:r>
            <a:rPr kumimoji="1" lang="en-US" altLang="ja-JP" sz="1800" i="1" u="none"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2</a:t>
          </a:r>
          <a:r>
            <a:rPr kumimoji="1" lang="en-US" altLang="ja-JP" sz="1800" baseline="30000">
              <a:latin typeface="Times New Roman" panose="02020603050405020304" pitchFamily="18" charset="0"/>
              <a:cs typeface="Times New Roman" panose="02020603050405020304" pitchFamily="18" charset="0"/>
            </a:rPr>
            <a:t>2 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(AM + 2 (BM - AM) </a:t>
          </a:r>
          <a:r>
            <a:rPr kumimoji="1" lang="en-US" altLang="ja-JP" sz="1800" i="1" u="none" baseline="0"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1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)</a:t>
          </a:r>
        </a:p>
        <a:p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ln </a:t>
          </a:r>
          <a:r>
            <a:rPr kumimoji="1" lang="el-GR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γ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2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 = </a:t>
          </a:r>
          <a:r>
            <a:rPr kumimoji="1" lang="en-US" altLang="ja-JP" sz="180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1</a:t>
          </a:r>
          <a:r>
            <a:rPr kumimoji="1" lang="en-US" altLang="ja-JP" sz="1800" baseline="30000">
              <a:latin typeface="Times New Roman" panose="02020603050405020304" pitchFamily="18" charset="0"/>
              <a:cs typeface="Times New Roman" panose="02020603050405020304" pitchFamily="18" charset="0"/>
            </a:rPr>
            <a:t>2 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(BM + 2 (AM - BM) </a:t>
          </a:r>
          <a:r>
            <a:rPr kumimoji="1" lang="en-US" altLang="ja-JP" sz="180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2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)</a:t>
          </a:r>
          <a:endParaRPr kumimoji="1" lang="en-US" altLang="ja-JP" sz="1800" baseline="300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471768</xdr:colOff>
      <xdr:row>1</xdr:row>
      <xdr:rowOff>103654</xdr:rowOff>
    </xdr:from>
    <xdr:ext cx="3691203" cy="35779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836709" y="484654"/>
          <a:ext cx="3691203" cy="357790"/>
        </a:xfrm>
        <a:prstGeom prst="rect">
          <a:avLst/>
        </a:prstGeom>
        <a:solidFill>
          <a:sysClr val="window" lastClr="FFFFFF"/>
        </a:solidFill>
        <a:ln w="28575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ln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P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0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[Pa] = AN + BN / (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T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[K] + CN) </a:t>
          </a:r>
          <a:endParaRPr kumimoji="1" lang="ja-JP" altLang="en-US" sz="1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 editAs="absolute">
    <xdr:from>
      <xdr:col>6</xdr:col>
      <xdr:colOff>193821</xdr:colOff>
      <xdr:row>8</xdr:row>
      <xdr:rowOff>246530</xdr:rowOff>
    </xdr:from>
    <xdr:to>
      <xdr:col>13</xdr:col>
      <xdr:colOff>104589</xdr:colOff>
      <xdr:row>29</xdr:row>
      <xdr:rowOff>123264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8</xdr:row>
          <xdr:rowOff>203200</xdr:rowOff>
        </xdr:from>
        <xdr:to>
          <xdr:col>1</xdr:col>
          <xdr:colOff>317500</xdr:colOff>
          <xdr:row>10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沸点計算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繰り返し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746645</xdr:colOff>
      <xdr:row>23</xdr:row>
      <xdr:rowOff>44825</xdr:rowOff>
    </xdr:from>
    <xdr:to>
      <xdr:col>13</xdr:col>
      <xdr:colOff>272677</xdr:colOff>
      <xdr:row>44</xdr:row>
      <xdr:rowOff>123265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49"/>
  <sheetViews>
    <sheetView tabSelected="1" topLeftCell="A9" zoomScale="85" zoomScaleNormal="85" zoomScalePageLayoutView="90" workbookViewId="0">
      <selection activeCell="J1007" sqref="J1007"/>
    </sheetView>
  </sheetViews>
  <sheetFormatPr baseColWidth="10" defaultColWidth="10.83203125" defaultRowHeight="14"/>
  <cols>
    <col min="1" max="1" width="10.83203125" style="1"/>
    <col min="2" max="3" width="10.83203125" style="9"/>
    <col min="4" max="16384" width="10.83203125" style="1"/>
  </cols>
  <sheetData>
    <row r="1" spans="1:20" s="20" customFormat="1" ht="30" customHeight="1">
      <c r="A1" s="20" t="s">
        <v>10</v>
      </c>
    </row>
    <row r="2" spans="1:20">
      <c r="B2" s="1"/>
      <c r="C2" s="1"/>
    </row>
    <row r="3" spans="1:20">
      <c r="A3" s="28"/>
      <c r="B3" s="30" t="s">
        <v>0</v>
      </c>
      <c r="C3" s="31"/>
      <c r="D3" s="32"/>
      <c r="E3" s="30" t="s">
        <v>6</v>
      </c>
      <c r="F3" s="32"/>
      <c r="G3" s="24" t="s">
        <v>11</v>
      </c>
      <c r="H3" s="24" t="s">
        <v>13</v>
      </c>
    </row>
    <row r="4" spans="1:20" ht="15" thickBot="1">
      <c r="A4" s="29"/>
      <c r="B4" s="14" t="s">
        <v>1</v>
      </c>
      <c r="C4" s="14" t="s">
        <v>8</v>
      </c>
      <c r="D4" s="14" t="s">
        <v>2</v>
      </c>
      <c r="E4" s="14" t="s">
        <v>3</v>
      </c>
      <c r="F4" s="14" t="s">
        <v>4</v>
      </c>
      <c r="G4" s="25"/>
      <c r="H4" s="25"/>
    </row>
    <row r="5" spans="1:20" ht="15" thickTop="1">
      <c r="A5" s="12" t="s">
        <v>5</v>
      </c>
      <c r="B5" s="17">
        <v>23.024999999999999</v>
      </c>
      <c r="C5" s="18">
        <v>-3358.5</v>
      </c>
      <c r="D5" s="19">
        <v>-59.362000000000002</v>
      </c>
      <c r="E5" s="26">
        <v>1.62198</v>
      </c>
      <c r="F5" s="26">
        <v>0.78305199999999997</v>
      </c>
      <c r="G5" s="10">
        <v>351.43</v>
      </c>
      <c r="H5" s="10"/>
    </row>
    <row r="6" spans="1:20">
      <c r="A6" s="13" t="s">
        <v>9</v>
      </c>
      <c r="B6" s="17">
        <v>23.396999999999998</v>
      </c>
      <c r="C6" s="18">
        <v>-3960.1</v>
      </c>
      <c r="D6" s="19">
        <v>-39.706000000000003</v>
      </c>
      <c r="E6" s="27"/>
      <c r="F6" s="27"/>
      <c r="G6" s="11">
        <v>373.3</v>
      </c>
      <c r="H6" s="10"/>
    </row>
    <row r="7" spans="1:20">
      <c r="B7" s="1"/>
      <c r="C7" s="1"/>
      <c r="E7" s="4"/>
      <c r="F7" s="4"/>
      <c r="G7" s="2"/>
    </row>
    <row r="8" spans="1:20">
      <c r="B8" s="1"/>
      <c r="C8" s="1"/>
      <c r="E8" s="4"/>
      <c r="F8" s="4"/>
      <c r="G8" s="2"/>
    </row>
    <row r="9" spans="1:20" ht="30" customHeight="1" thickBot="1">
      <c r="B9" s="1"/>
      <c r="C9" s="15" t="s">
        <v>18</v>
      </c>
      <c r="D9" s="15" t="s">
        <v>12</v>
      </c>
      <c r="E9" s="15" t="s">
        <v>13</v>
      </c>
      <c r="F9" s="16" t="s">
        <v>7</v>
      </c>
      <c r="N9" s="5"/>
      <c r="O9" s="5"/>
      <c r="P9" s="5"/>
      <c r="Q9" s="5"/>
      <c r="R9" s="5"/>
      <c r="S9" s="5"/>
      <c r="T9" s="3"/>
    </row>
    <row r="10" spans="1:20" ht="15" thickTop="1">
      <c r="B10" s="1"/>
      <c r="C10" s="8"/>
      <c r="D10" s="23"/>
      <c r="E10" s="23"/>
      <c r="F10" s="22"/>
      <c r="N10" s="6"/>
      <c r="O10" s="5"/>
      <c r="P10" s="6"/>
      <c r="Q10" s="6"/>
      <c r="R10" s="6"/>
      <c r="S10" s="6"/>
      <c r="T10" s="3"/>
    </row>
    <row r="11" spans="1:20">
      <c r="B11" s="1"/>
      <c r="C11" s="8">
        <v>0</v>
      </c>
      <c r="D11" s="23">
        <v>373.29602513657818</v>
      </c>
      <c r="E11" s="23">
        <v>100.1460251365782</v>
      </c>
      <c r="F11" s="22">
        <v>2</v>
      </c>
      <c r="N11" s="6"/>
      <c r="O11" s="5"/>
      <c r="P11" s="6"/>
      <c r="Q11" s="6"/>
      <c r="R11" s="6"/>
      <c r="S11" s="6"/>
      <c r="T11" s="3"/>
    </row>
    <row r="12" spans="1:20">
      <c r="B12" s="1"/>
      <c r="C12" s="8">
        <v>0.05</v>
      </c>
      <c r="D12" s="23">
        <v>363.94416101954761</v>
      </c>
      <c r="E12" s="23">
        <v>90.79416101954763</v>
      </c>
      <c r="F12" s="22">
        <v>6</v>
      </c>
      <c r="N12" s="5"/>
      <c r="O12" s="5"/>
      <c r="P12" s="6"/>
      <c r="Q12" s="6"/>
      <c r="R12" s="6"/>
      <c r="S12" s="6"/>
      <c r="T12" s="3"/>
    </row>
    <row r="13" spans="1:20">
      <c r="B13" s="1"/>
      <c r="C13" s="8">
        <v>0.1</v>
      </c>
      <c r="D13" s="23">
        <v>359.65066213699515</v>
      </c>
      <c r="E13" s="23">
        <v>86.500662136995174</v>
      </c>
      <c r="F13" s="22">
        <v>7</v>
      </c>
      <c r="N13" s="5"/>
      <c r="O13" s="5"/>
      <c r="P13" s="5"/>
      <c r="Q13" s="5"/>
      <c r="R13" s="5"/>
      <c r="S13" s="5"/>
      <c r="T13" s="3"/>
    </row>
    <row r="14" spans="1:20">
      <c r="B14" s="1"/>
      <c r="C14" s="8">
        <v>0.15000000000000002</v>
      </c>
      <c r="D14" s="23">
        <v>357.35939653746249</v>
      </c>
      <c r="E14" s="23">
        <v>84.20939653746251</v>
      </c>
      <c r="F14" s="22">
        <v>7</v>
      </c>
      <c r="N14" s="5"/>
      <c r="O14" s="5"/>
      <c r="P14" s="7"/>
      <c r="Q14" s="5"/>
      <c r="R14" s="5"/>
      <c r="S14" s="5"/>
      <c r="T14" s="3"/>
    </row>
    <row r="15" spans="1:20">
      <c r="B15" s="1"/>
      <c r="C15" s="8">
        <v>0.2</v>
      </c>
      <c r="D15" s="23">
        <v>356.02424612118097</v>
      </c>
      <c r="E15" s="23">
        <v>82.874246121180988</v>
      </c>
      <c r="F15" s="22">
        <v>7</v>
      </c>
    </row>
    <row r="16" spans="1:20">
      <c r="B16" s="1"/>
      <c r="C16" s="8">
        <v>0.25</v>
      </c>
      <c r="D16" s="23">
        <v>355.18312750050723</v>
      </c>
      <c r="E16" s="23">
        <v>82.033127500507248</v>
      </c>
      <c r="F16" s="22">
        <v>8</v>
      </c>
    </row>
    <row r="17" spans="1:6">
      <c r="B17" s="1"/>
      <c r="C17" s="8">
        <v>0.3</v>
      </c>
      <c r="D17" s="23">
        <v>354.60345528908607</v>
      </c>
      <c r="E17" s="23">
        <v>81.453455289086094</v>
      </c>
      <c r="F17" s="22">
        <v>8</v>
      </c>
    </row>
    <row r="18" spans="1:6">
      <c r="B18" s="1"/>
      <c r="C18" s="8">
        <v>0.35</v>
      </c>
      <c r="D18" s="23">
        <v>354.16153948401791</v>
      </c>
      <c r="E18" s="23">
        <v>81.011539484017931</v>
      </c>
      <c r="F18" s="22">
        <v>8</v>
      </c>
    </row>
    <row r="19" spans="1:6">
      <c r="B19" s="1"/>
      <c r="C19" s="8">
        <v>0.39999999999999997</v>
      </c>
      <c r="D19" s="23">
        <v>353.79062553455094</v>
      </c>
      <c r="E19" s="23">
        <v>80.640625534550963</v>
      </c>
      <c r="F19" s="22">
        <v>8</v>
      </c>
    </row>
    <row r="20" spans="1:6">
      <c r="B20" s="1"/>
      <c r="C20" s="8">
        <v>0.44999999999999996</v>
      </c>
      <c r="D20" s="23">
        <v>353.45633269156372</v>
      </c>
      <c r="E20" s="23">
        <v>80.306332691563739</v>
      </c>
      <c r="F20" s="22">
        <v>8</v>
      </c>
    </row>
    <row r="21" spans="1:6">
      <c r="B21" s="1"/>
      <c r="C21" s="8">
        <v>0.49999999999999994</v>
      </c>
      <c r="D21" s="23">
        <v>353.14316109513317</v>
      </c>
      <c r="E21" s="23">
        <v>79.993161095133189</v>
      </c>
      <c r="F21" s="22">
        <v>7</v>
      </c>
    </row>
    <row r="22" spans="1:6">
      <c r="B22" s="1"/>
      <c r="C22" s="8">
        <v>0.54999999999999993</v>
      </c>
      <c r="D22" s="23">
        <v>352.84738277609938</v>
      </c>
      <c r="E22" s="23">
        <v>79.697382776099403</v>
      </c>
      <c r="F22" s="22">
        <v>7</v>
      </c>
    </row>
    <row r="23" spans="1:6">
      <c r="B23" s="1"/>
      <c r="C23" s="8">
        <v>0.6</v>
      </c>
      <c r="D23" s="23">
        <v>352.57099187537818</v>
      </c>
      <c r="E23" s="23">
        <v>79.420991875378206</v>
      </c>
      <c r="F23" s="22">
        <v>7</v>
      </c>
    </row>
    <row r="24" spans="1:6">
      <c r="B24" s="1"/>
      <c r="C24" s="8">
        <v>0.65</v>
      </c>
      <c r="D24" s="23">
        <v>352.31909674012718</v>
      </c>
      <c r="E24" s="23">
        <v>79.169096740127202</v>
      </c>
      <c r="F24" s="22">
        <v>7</v>
      </c>
    </row>
    <row r="25" spans="1:6">
      <c r="B25" s="1"/>
      <c r="C25" s="8">
        <v>0.70000000000000007</v>
      </c>
      <c r="D25" s="23">
        <v>352.0973343216545</v>
      </c>
      <c r="E25" s="23">
        <v>78.947334321654523</v>
      </c>
      <c r="F25" s="22">
        <v>7</v>
      </c>
    </row>
    <row r="26" spans="1:6">
      <c r="B26" s="1"/>
      <c r="C26" s="8">
        <v>0.75000000000000011</v>
      </c>
      <c r="D26" s="23">
        <v>351.91008668871279</v>
      </c>
      <c r="E26" s="23">
        <v>78.760086688712818</v>
      </c>
      <c r="F26" s="22">
        <v>7</v>
      </c>
    </row>
    <row r="27" spans="1:6">
      <c r="B27" s="1"/>
      <c r="C27" s="8">
        <v>0.80000000000000016</v>
      </c>
      <c r="D27" s="23">
        <v>351.75899057570888</v>
      </c>
      <c r="E27" s="23">
        <v>78.608990575708901</v>
      </c>
      <c r="F27" s="22">
        <v>6</v>
      </c>
    </row>
    <row r="28" spans="1:6">
      <c r="B28" s="1"/>
      <c r="C28" s="8">
        <v>0.8500000000000002</v>
      </c>
      <c r="D28" s="23">
        <v>351.64271731284521</v>
      </c>
      <c r="E28" s="23">
        <v>78.49271731284523</v>
      </c>
      <c r="F28" s="22">
        <v>6</v>
      </c>
    </row>
    <row r="29" spans="1:6">
      <c r="B29" s="1"/>
      <c r="C29" s="8">
        <v>0.90000000000000024</v>
      </c>
      <c r="D29" s="23">
        <v>351.55538662595643</v>
      </c>
      <c r="E29" s="23">
        <v>78.405386625956453</v>
      </c>
      <c r="F29" s="22">
        <v>6</v>
      </c>
    </row>
    <row r="30" spans="1:6">
      <c r="B30" s="1"/>
      <c r="C30" s="8">
        <v>0.95000000000000029</v>
      </c>
      <c r="D30" s="23">
        <v>351.48745214398883</v>
      </c>
      <c r="E30" s="23">
        <v>78.337452143988855</v>
      </c>
      <c r="F30" s="22">
        <v>5</v>
      </c>
    </row>
    <row r="31" spans="1:6">
      <c r="A31" s="8"/>
      <c r="C31" s="9">
        <v>1.0000000000000002</v>
      </c>
      <c r="D31" s="1">
        <v>351.42685466864975</v>
      </c>
      <c r="E31" s="1">
        <v>78.276854668649776</v>
      </c>
      <c r="F31" s="1">
        <v>2</v>
      </c>
    </row>
    <row r="32" spans="1:6">
      <c r="A32" s="8"/>
    </row>
    <row r="33" spans="1:1">
      <c r="A33" s="8"/>
    </row>
    <row r="34" spans="1:1">
      <c r="A34" s="8"/>
    </row>
    <row r="35" spans="1:1">
      <c r="A35" s="8"/>
    </row>
    <row r="36" spans="1:1">
      <c r="A36" s="8"/>
    </row>
    <row r="37" spans="1:1">
      <c r="A37" s="8"/>
    </row>
    <row r="38" spans="1:1">
      <c r="A38" s="8"/>
    </row>
    <row r="39" spans="1:1">
      <c r="A39" s="8"/>
    </row>
    <row r="40" spans="1:1">
      <c r="A40" s="8"/>
    </row>
    <row r="41" spans="1:1">
      <c r="A41" s="8"/>
    </row>
    <row r="42" spans="1:1">
      <c r="A42" s="8"/>
    </row>
    <row r="43" spans="1:1">
      <c r="A43" s="8"/>
    </row>
    <row r="44" spans="1:1">
      <c r="A44" s="8"/>
    </row>
    <row r="45" spans="1:1">
      <c r="A45" s="8"/>
    </row>
    <row r="46" spans="1:1">
      <c r="A46" s="8"/>
    </row>
    <row r="47" spans="1:1">
      <c r="A47" s="8"/>
    </row>
    <row r="48" spans="1:1">
      <c r="A48" s="8"/>
    </row>
    <row r="49" spans="1:1">
      <c r="A49" s="8"/>
    </row>
    <row r="50" spans="1:1">
      <c r="A50" s="8"/>
    </row>
    <row r="51" spans="1:1">
      <c r="A51" s="8"/>
    </row>
    <row r="52" spans="1:1">
      <c r="A52" s="8"/>
    </row>
    <row r="53" spans="1:1">
      <c r="A53" s="8"/>
    </row>
    <row r="54" spans="1:1">
      <c r="A54" s="8"/>
    </row>
    <row r="55" spans="1:1">
      <c r="A55" s="8"/>
    </row>
    <row r="56" spans="1:1">
      <c r="A56" s="8"/>
    </row>
    <row r="57" spans="1:1">
      <c r="A57" s="8"/>
    </row>
    <row r="58" spans="1:1">
      <c r="A58" s="8"/>
    </row>
    <row r="59" spans="1:1">
      <c r="A59" s="8"/>
    </row>
    <row r="60" spans="1:1">
      <c r="A60" s="8"/>
    </row>
    <row r="61" spans="1:1">
      <c r="A61" s="8"/>
    </row>
    <row r="62" spans="1:1">
      <c r="A62" s="8"/>
    </row>
    <row r="63" spans="1:1">
      <c r="A63" s="8"/>
    </row>
    <row r="64" spans="1:1">
      <c r="A64" s="8"/>
    </row>
    <row r="65" spans="1:1">
      <c r="A65" s="8"/>
    </row>
    <row r="66" spans="1:1">
      <c r="A66" s="8"/>
    </row>
    <row r="67" spans="1:1">
      <c r="A67" s="8"/>
    </row>
    <row r="68" spans="1:1">
      <c r="A68" s="8"/>
    </row>
    <row r="69" spans="1:1">
      <c r="A69" s="8"/>
    </row>
    <row r="70" spans="1:1">
      <c r="A70" s="8"/>
    </row>
    <row r="71" spans="1:1">
      <c r="A71" s="8"/>
    </row>
    <row r="72" spans="1:1">
      <c r="A72" s="8"/>
    </row>
    <row r="73" spans="1:1">
      <c r="A73" s="8"/>
    </row>
    <row r="74" spans="1:1">
      <c r="A74" s="8"/>
    </row>
    <row r="75" spans="1:1">
      <c r="A75" s="8"/>
    </row>
    <row r="76" spans="1:1">
      <c r="A76" s="8"/>
    </row>
    <row r="77" spans="1:1">
      <c r="A77" s="8"/>
    </row>
    <row r="78" spans="1:1">
      <c r="A78" s="8"/>
    </row>
    <row r="79" spans="1:1">
      <c r="A79" s="8"/>
    </row>
    <row r="80" spans="1:1">
      <c r="A80" s="8"/>
    </row>
    <row r="81" spans="1:1">
      <c r="A81" s="8"/>
    </row>
    <row r="82" spans="1:1">
      <c r="A82" s="8"/>
    </row>
    <row r="83" spans="1:1">
      <c r="A83" s="8"/>
    </row>
    <row r="84" spans="1:1">
      <c r="A84" s="8"/>
    </row>
    <row r="85" spans="1:1">
      <c r="A85" s="8"/>
    </row>
    <row r="86" spans="1:1">
      <c r="A86" s="8"/>
    </row>
    <row r="87" spans="1:1">
      <c r="A87" s="8"/>
    </row>
    <row r="88" spans="1:1">
      <c r="A88" s="8"/>
    </row>
    <row r="89" spans="1:1">
      <c r="A89" s="8"/>
    </row>
    <row r="90" spans="1:1">
      <c r="A90" s="8"/>
    </row>
    <row r="91" spans="1:1">
      <c r="A91" s="8"/>
    </row>
    <row r="92" spans="1:1">
      <c r="A92" s="8"/>
    </row>
    <row r="93" spans="1:1">
      <c r="A93" s="8"/>
    </row>
    <row r="94" spans="1:1">
      <c r="A94" s="8"/>
    </row>
    <row r="95" spans="1:1">
      <c r="A95" s="8"/>
    </row>
    <row r="96" spans="1:1">
      <c r="A96" s="8"/>
    </row>
    <row r="97" spans="1:1">
      <c r="A97" s="8"/>
    </row>
    <row r="98" spans="1:1">
      <c r="A98" s="8"/>
    </row>
    <row r="99" spans="1:1">
      <c r="A99" s="8"/>
    </row>
    <row r="100" spans="1:1">
      <c r="A100" s="8"/>
    </row>
    <row r="101" spans="1:1">
      <c r="A101" s="8"/>
    </row>
    <row r="102" spans="1:1">
      <c r="A102" s="8"/>
    </row>
    <row r="103" spans="1:1">
      <c r="A103" s="8"/>
    </row>
    <row r="104" spans="1:1">
      <c r="A104" s="8"/>
    </row>
    <row r="105" spans="1:1">
      <c r="A105" s="8"/>
    </row>
    <row r="106" spans="1:1">
      <c r="A106" s="8"/>
    </row>
    <row r="107" spans="1:1">
      <c r="A107" s="8"/>
    </row>
    <row r="108" spans="1:1">
      <c r="A108" s="8"/>
    </row>
    <row r="109" spans="1:1">
      <c r="A109" s="8"/>
    </row>
    <row r="110" spans="1:1">
      <c r="A110" s="8"/>
    </row>
    <row r="111" spans="1:1">
      <c r="A111" s="8"/>
    </row>
    <row r="112" spans="1:1">
      <c r="A112" s="8"/>
    </row>
    <row r="113" spans="1:1">
      <c r="A113" s="8"/>
    </row>
    <row r="114" spans="1:1">
      <c r="A114" s="8"/>
    </row>
    <row r="115" spans="1:1">
      <c r="A115" s="8"/>
    </row>
    <row r="116" spans="1:1">
      <c r="A116" s="8"/>
    </row>
    <row r="117" spans="1:1">
      <c r="A117" s="8"/>
    </row>
    <row r="118" spans="1:1">
      <c r="A118" s="8"/>
    </row>
    <row r="119" spans="1:1">
      <c r="A119" s="8"/>
    </row>
    <row r="120" spans="1:1">
      <c r="A120" s="8"/>
    </row>
    <row r="121" spans="1:1">
      <c r="A121" s="8"/>
    </row>
    <row r="122" spans="1:1">
      <c r="A122" s="8"/>
    </row>
    <row r="123" spans="1:1">
      <c r="A123" s="8"/>
    </row>
    <row r="124" spans="1:1">
      <c r="A124" s="8"/>
    </row>
    <row r="125" spans="1:1">
      <c r="A125" s="8"/>
    </row>
    <row r="126" spans="1:1">
      <c r="A126" s="8"/>
    </row>
    <row r="127" spans="1:1">
      <c r="A127" s="8"/>
    </row>
    <row r="128" spans="1:1">
      <c r="A128" s="8"/>
    </row>
    <row r="129" spans="1:1">
      <c r="A129" s="8"/>
    </row>
    <row r="130" spans="1:1">
      <c r="A130" s="8"/>
    </row>
    <row r="131" spans="1:1">
      <c r="A131" s="8"/>
    </row>
    <row r="132" spans="1:1">
      <c r="A132" s="8"/>
    </row>
    <row r="133" spans="1:1">
      <c r="A133" s="8"/>
    </row>
    <row r="134" spans="1:1">
      <c r="A134" s="8"/>
    </row>
    <row r="135" spans="1:1">
      <c r="A135" s="8"/>
    </row>
    <row r="136" spans="1:1">
      <c r="A136" s="8"/>
    </row>
    <row r="137" spans="1:1">
      <c r="A137" s="8"/>
    </row>
    <row r="138" spans="1:1">
      <c r="A138" s="8"/>
    </row>
    <row r="139" spans="1:1">
      <c r="A139" s="8"/>
    </row>
    <row r="140" spans="1:1">
      <c r="A140" s="8"/>
    </row>
    <row r="141" spans="1:1">
      <c r="A141" s="8"/>
    </row>
    <row r="142" spans="1:1">
      <c r="A142" s="8"/>
    </row>
    <row r="143" spans="1:1">
      <c r="A143" s="8"/>
    </row>
    <row r="144" spans="1:1">
      <c r="A144" s="8"/>
    </row>
    <row r="145" spans="1:1">
      <c r="A145" s="8"/>
    </row>
    <row r="146" spans="1:1">
      <c r="A146" s="8"/>
    </row>
    <row r="147" spans="1:1">
      <c r="A147" s="8"/>
    </row>
    <row r="148" spans="1:1">
      <c r="A148" s="8"/>
    </row>
    <row r="149" spans="1:1">
      <c r="A149" s="8"/>
    </row>
  </sheetData>
  <mergeCells count="7">
    <mergeCell ref="G3:G4"/>
    <mergeCell ref="H3:H4"/>
    <mergeCell ref="E5:E6"/>
    <mergeCell ref="F5:F6"/>
    <mergeCell ref="A3:A4"/>
    <mergeCell ref="B3:D3"/>
    <mergeCell ref="E3:F3"/>
  </mergeCells>
  <phoneticPr fontId="3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Water_Ethanol">
                <anchor moveWithCells="1">
                  <from>
                    <xdr:col>0</xdr:col>
                    <xdr:colOff>266700</xdr:colOff>
                    <xdr:row>8</xdr:row>
                    <xdr:rowOff>203200</xdr:rowOff>
                  </from>
                  <to>
                    <xdr:col>1</xdr:col>
                    <xdr:colOff>330200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49"/>
  <sheetViews>
    <sheetView zoomScale="85" zoomScaleNormal="85" zoomScalePageLayoutView="90" workbookViewId="0">
      <selection activeCell="D14" sqref="D14"/>
    </sheetView>
  </sheetViews>
  <sheetFormatPr baseColWidth="10" defaultColWidth="10.83203125" defaultRowHeight="14"/>
  <cols>
    <col min="1" max="1" width="10.83203125" style="1"/>
    <col min="2" max="3" width="10.83203125" style="9"/>
    <col min="4" max="16384" width="10.83203125" style="1"/>
  </cols>
  <sheetData>
    <row r="1" spans="1:26" s="20" customFormat="1" ht="30" customHeight="1">
      <c r="A1" s="20" t="s">
        <v>15</v>
      </c>
    </row>
    <row r="2" spans="1:26">
      <c r="B2" s="1"/>
      <c r="C2" s="1"/>
    </row>
    <row r="3" spans="1:26">
      <c r="A3" s="28"/>
      <c r="B3" s="30" t="s">
        <v>0</v>
      </c>
      <c r="C3" s="31"/>
      <c r="D3" s="32"/>
      <c r="E3" s="30" t="s">
        <v>6</v>
      </c>
      <c r="F3" s="32"/>
      <c r="G3" s="24" t="s">
        <v>11</v>
      </c>
      <c r="H3" s="24" t="s">
        <v>13</v>
      </c>
      <c r="J3" s="28"/>
      <c r="K3" s="30" t="s">
        <v>0</v>
      </c>
      <c r="L3" s="31"/>
      <c r="M3" s="32"/>
      <c r="N3" s="30" t="s">
        <v>6</v>
      </c>
      <c r="O3" s="32"/>
      <c r="P3" s="24" t="s">
        <v>11</v>
      </c>
      <c r="Q3" s="24" t="s">
        <v>13</v>
      </c>
      <c r="S3" s="28"/>
      <c r="T3" s="30" t="s">
        <v>0</v>
      </c>
      <c r="U3" s="31"/>
      <c r="V3" s="32"/>
      <c r="W3" s="30" t="s">
        <v>6</v>
      </c>
      <c r="X3" s="32"/>
      <c r="Y3" s="24" t="s">
        <v>11</v>
      </c>
      <c r="Z3" s="24" t="s">
        <v>13</v>
      </c>
    </row>
    <row r="4" spans="1:26" ht="15" thickBot="1">
      <c r="A4" s="29"/>
      <c r="B4" s="21" t="s">
        <v>1</v>
      </c>
      <c r="C4" s="21" t="s">
        <v>8</v>
      </c>
      <c r="D4" s="21" t="s">
        <v>2</v>
      </c>
      <c r="E4" s="21" t="s">
        <v>3</v>
      </c>
      <c r="F4" s="21" t="s">
        <v>4</v>
      </c>
      <c r="G4" s="25"/>
      <c r="H4" s="25"/>
      <c r="J4" s="29"/>
      <c r="K4" s="21" t="s">
        <v>1</v>
      </c>
      <c r="L4" s="21" t="s">
        <v>8</v>
      </c>
      <c r="M4" s="21" t="s">
        <v>2</v>
      </c>
      <c r="N4" s="21" t="s">
        <v>3</v>
      </c>
      <c r="O4" s="21" t="s">
        <v>4</v>
      </c>
      <c r="P4" s="25"/>
      <c r="Q4" s="25"/>
      <c r="S4" s="29"/>
      <c r="T4" s="21" t="s">
        <v>1</v>
      </c>
      <c r="U4" s="21" t="s">
        <v>8</v>
      </c>
      <c r="V4" s="21" t="s">
        <v>2</v>
      </c>
      <c r="W4" s="21" t="s">
        <v>3</v>
      </c>
      <c r="X4" s="21" t="s">
        <v>4</v>
      </c>
      <c r="Y4" s="25"/>
      <c r="Z4" s="25"/>
    </row>
    <row r="5" spans="1:26" ht="15" thickTop="1">
      <c r="A5" s="12" t="s">
        <v>5</v>
      </c>
      <c r="B5" s="17"/>
      <c r="C5" s="18"/>
      <c r="D5" s="19"/>
      <c r="E5" s="26">
        <v>1.62198</v>
      </c>
      <c r="F5" s="26">
        <v>0.78305199999999997</v>
      </c>
      <c r="G5" s="10"/>
      <c r="H5" s="10"/>
      <c r="J5" s="12" t="s">
        <v>14</v>
      </c>
      <c r="K5" s="17"/>
      <c r="L5" s="18"/>
      <c r="M5" s="19"/>
      <c r="N5" s="26">
        <v>0.84297</v>
      </c>
      <c r="O5" s="26">
        <v>0.46455999999999997</v>
      </c>
      <c r="P5" s="10"/>
      <c r="Q5" s="10"/>
      <c r="S5" s="12" t="s">
        <v>16</v>
      </c>
      <c r="T5" s="17"/>
      <c r="U5" s="18"/>
      <c r="V5" s="19"/>
      <c r="W5" s="26">
        <v>2.1424799999999999</v>
      </c>
      <c r="X5" s="26">
        <v>1.5341499999999999</v>
      </c>
      <c r="Y5" s="10"/>
      <c r="Z5" s="10"/>
    </row>
    <row r="6" spans="1:26">
      <c r="A6" s="13" t="s">
        <v>9</v>
      </c>
      <c r="B6" s="17"/>
      <c r="C6" s="18"/>
      <c r="D6" s="19"/>
      <c r="E6" s="27"/>
      <c r="F6" s="27"/>
      <c r="G6" s="11"/>
      <c r="H6" s="10"/>
      <c r="J6" s="13" t="s">
        <v>9</v>
      </c>
      <c r="K6" s="17"/>
      <c r="L6" s="18"/>
      <c r="M6" s="19"/>
      <c r="N6" s="27"/>
      <c r="O6" s="27"/>
      <c r="P6" s="11"/>
      <c r="Q6" s="10"/>
      <c r="S6" s="13" t="s">
        <v>17</v>
      </c>
      <c r="T6" s="17"/>
      <c r="U6" s="18"/>
      <c r="V6" s="19"/>
      <c r="W6" s="27"/>
      <c r="X6" s="27"/>
      <c r="Y6" s="11"/>
      <c r="Z6" s="10"/>
    </row>
    <row r="7" spans="1:26">
      <c r="B7" s="1"/>
      <c r="C7" s="1"/>
      <c r="E7" s="4"/>
      <c r="F7" s="4"/>
      <c r="G7" s="2"/>
    </row>
    <row r="8" spans="1:26">
      <c r="B8" s="1"/>
      <c r="C8" s="1" t="str">
        <f>A5&amp;" - "&amp;A6</f>
        <v>Ethanol(1) - Water(2)</v>
      </c>
      <c r="E8" s="4"/>
      <c r="F8" s="4"/>
      <c r="G8" s="2"/>
      <c r="L8" s="1" t="str">
        <f>J5&amp;" - "&amp;J6</f>
        <v>Methanol(1) - Water(2)</v>
      </c>
      <c r="U8" s="1" t="str">
        <f>S5&amp;" - "&amp;S6</f>
        <v>Acetone(1) - Water(2)</v>
      </c>
    </row>
    <row r="9" spans="1:26" ht="30" customHeight="1" thickBot="1">
      <c r="B9" s="1"/>
      <c r="C9" s="15" t="s">
        <v>18</v>
      </c>
      <c r="D9" s="15" t="s">
        <v>12</v>
      </c>
      <c r="E9" s="15" t="s">
        <v>13</v>
      </c>
      <c r="F9" s="16" t="s">
        <v>7</v>
      </c>
      <c r="L9" s="15" t="s">
        <v>18</v>
      </c>
      <c r="M9" s="15" t="s">
        <v>12</v>
      </c>
      <c r="N9" s="15" t="s">
        <v>13</v>
      </c>
      <c r="O9" s="16" t="s">
        <v>7</v>
      </c>
      <c r="P9" s="5"/>
      <c r="Q9" s="5"/>
      <c r="R9" s="5"/>
      <c r="S9" s="5"/>
      <c r="T9" s="5"/>
      <c r="U9" s="15" t="s">
        <v>18</v>
      </c>
      <c r="V9" s="15" t="s">
        <v>12</v>
      </c>
      <c r="W9" s="15" t="s">
        <v>13</v>
      </c>
      <c r="X9" s="16" t="s">
        <v>7</v>
      </c>
    </row>
    <row r="10" spans="1:26" ht="15" thickTop="1">
      <c r="B10" s="1"/>
      <c r="C10" s="8"/>
      <c r="D10" s="23"/>
      <c r="E10" s="23"/>
      <c r="F10" s="22"/>
      <c r="L10" s="8"/>
      <c r="M10" s="23"/>
      <c r="N10" s="23"/>
      <c r="O10" s="22"/>
      <c r="P10" s="6"/>
      <c r="Q10" s="6"/>
      <c r="R10" s="6"/>
      <c r="S10" s="6"/>
      <c r="T10" s="6"/>
      <c r="U10" s="8"/>
      <c r="V10" s="23"/>
      <c r="W10" s="23"/>
      <c r="X10" s="22"/>
    </row>
    <row r="11" spans="1:26">
      <c r="B11" s="1"/>
      <c r="C11" s="8"/>
      <c r="D11" s="23"/>
      <c r="E11" s="23"/>
      <c r="F11" s="22"/>
      <c r="L11" s="8"/>
      <c r="M11" s="23"/>
      <c r="N11" s="23"/>
      <c r="O11" s="22"/>
      <c r="P11" s="6"/>
      <c r="Q11" s="6"/>
      <c r="R11" s="6"/>
      <c r="S11" s="6"/>
      <c r="T11" s="8"/>
      <c r="U11" s="8"/>
      <c r="V11" s="23"/>
      <c r="W11" s="23"/>
      <c r="X11" s="22"/>
    </row>
    <row r="12" spans="1:26">
      <c r="B12" s="1"/>
      <c r="C12" s="8"/>
      <c r="D12" s="23"/>
      <c r="E12" s="23"/>
      <c r="F12" s="22"/>
      <c r="L12" s="8"/>
      <c r="M12" s="23"/>
      <c r="N12" s="23"/>
      <c r="O12" s="22"/>
      <c r="P12" s="6"/>
      <c r="Q12" s="6"/>
      <c r="R12" s="6"/>
      <c r="S12" s="6"/>
      <c r="T12" s="8"/>
      <c r="U12" s="8"/>
      <c r="V12" s="23"/>
      <c r="W12" s="23"/>
      <c r="X12" s="22"/>
    </row>
    <row r="13" spans="1:26">
      <c r="B13" s="1"/>
      <c r="C13" s="8"/>
      <c r="D13" s="23"/>
      <c r="E13" s="23"/>
      <c r="F13" s="22"/>
      <c r="L13" s="8"/>
      <c r="M13" s="23"/>
      <c r="N13" s="23"/>
      <c r="O13" s="22"/>
      <c r="P13" s="5"/>
      <c r="Q13" s="5"/>
      <c r="R13" s="5"/>
      <c r="S13" s="5"/>
      <c r="T13" s="8"/>
      <c r="U13" s="8"/>
      <c r="V13" s="23"/>
      <c r="W13" s="23"/>
      <c r="X13" s="22"/>
    </row>
    <row r="14" spans="1:26">
      <c r="B14" s="1"/>
      <c r="C14" s="8"/>
      <c r="D14" s="23"/>
      <c r="E14" s="23"/>
      <c r="F14" s="22"/>
      <c r="L14" s="8"/>
      <c r="M14" s="23"/>
      <c r="N14" s="23"/>
      <c r="O14" s="22"/>
      <c r="P14" s="7"/>
      <c r="Q14" s="5"/>
      <c r="R14" s="5"/>
      <c r="S14" s="5"/>
      <c r="T14" s="8"/>
      <c r="U14" s="8"/>
      <c r="V14" s="23"/>
      <c r="W14" s="23"/>
      <c r="X14" s="22"/>
    </row>
    <row r="15" spans="1:26">
      <c r="B15" s="1"/>
      <c r="C15" s="8"/>
      <c r="D15" s="23"/>
      <c r="E15" s="23"/>
      <c r="F15" s="22"/>
      <c r="L15" s="8"/>
      <c r="M15" s="23"/>
      <c r="N15" s="23"/>
      <c r="O15" s="22"/>
      <c r="T15" s="8"/>
      <c r="U15" s="8"/>
      <c r="V15" s="23"/>
      <c r="W15" s="23"/>
      <c r="X15" s="22"/>
    </row>
    <row r="16" spans="1:26">
      <c r="B16" s="1"/>
      <c r="C16" s="8"/>
      <c r="D16" s="23"/>
      <c r="E16" s="23"/>
      <c r="F16" s="22"/>
      <c r="L16" s="8"/>
      <c r="M16" s="23"/>
      <c r="N16" s="23"/>
      <c r="O16" s="22"/>
      <c r="T16" s="8"/>
      <c r="U16" s="8"/>
      <c r="V16" s="23"/>
      <c r="W16" s="23"/>
      <c r="X16" s="22"/>
    </row>
    <row r="17" spans="1:24">
      <c r="B17" s="1"/>
      <c r="C17" s="8"/>
      <c r="D17" s="23"/>
      <c r="E17" s="23"/>
      <c r="F17" s="22"/>
      <c r="L17" s="8"/>
      <c r="M17" s="23"/>
      <c r="N17" s="23"/>
      <c r="O17" s="22"/>
      <c r="T17" s="8"/>
      <c r="U17" s="8"/>
      <c r="V17" s="23"/>
      <c r="W17" s="23"/>
      <c r="X17" s="22"/>
    </row>
    <row r="18" spans="1:24">
      <c r="B18" s="1"/>
      <c r="C18" s="8"/>
      <c r="D18" s="23"/>
      <c r="E18" s="23"/>
      <c r="F18" s="22"/>
      <c r="L18" s="8"/>
      <c r="M18" s="23"/>
      <c r="N18" s="23"/>
      <c r="O18" s="22"/>
      <c r="T18" s="8"/>
      <c r="U18" s="8"/>
      <c r="V18" s="23"/>
      <c r="W18" s="23"/>
      <c r="X18" s="22"/>
    </row>
    <row r="19" spans="1:24">
      <c r="B19" s="1"/>
      <c r="C19" s="8"/>
      <c r="D19" s="23"/>
      <c r="E19" s="23"/>
      <c r="F19" s="22"/>
      <c r="L19" s="8"/>
      <c r="M19" s="23"/>
      <c r="N19" s="23"/>
      <c r="O19" s="22"/>
      <c r="T19" s="8"/>
      <c r="U19" s="8"/>
      <c r="V19" s="23"/>
      <c r="W19" s="23"/>
      <c r="X19" s="22"/>
    </row>
    <row r="20" spans="1:24">
      <c r="B20" s="1"/>
      <c r="C20" s="8"/>
      <c r="D20" s="23"/>
      <c r="E20" s="23"/>
      <c r="F20" s="22"/>
      <c r="L20" s="8"/>
      <c r="M20" s="23"/>
      <c r="N20" s="23"/>
      <c r="O20" s="22"/>
      <c r="T20" s="8"/>
      <c r="U20" s="8"/>
      <c r="V20" s="23"/>
      <c r="W20" s="23"/>
      <c r="X20" s="22"/>
    </row>
    <row r="21" spans="1:24">
      <c r="B21" s="1"/>
      <c r="C21" s="8"/>
      <c r="D21" s="23"/>
      <c r="E21" s="23"/>
      <c r="F21" s="22"/>
      <c r="L21" s="8"/>
      <c r="M21" s="23"/>
      <c r="N21" s="23"/>
      <c r="O21" s="22"/>
      <c r="T21" s="8"/>
      <c r="U21" s="8"/>
      <c r="V21" s="23"/>
      <c r="W21" s="23"/>
      <c r="X21" s="22"/>
    </row>
    <row r="22" spans="1:24">
      <c r="B22" s="1"/>
      <c r="C22" s="8"/>
      <c r="D22" s="23"/>
      <c r="E22" s="23"/>
      <c r="F22" s="22"/>
      <c r="L22" s="8"/>
      <c r="M22" s="23"/>
      <c r="N22" s="23"/>
      <c r="O22" s="22"/>
      <c r="T22" s="8"/>
      <c r="U22" s="8"/>
      <c r="V22" s="23"/>
      <c r="W22" s="23"/>
      <c r="X22" s="22"/>
    </row>
    <row r="23" spans="1:24">
      <c r="B23" s="1"/>
      <c r="C23" s="8"/>
      <c r="D23" s="23"/>
      <c r="E23" s="23"/>
      <c r="F23" s="22"/>
      <c r="L23" s="8"/>
      <c r="M23" s="23"/>
      <c r="N23" s="23"/>
      <c r="O23" s="22"/>
      <c r="T23" s="8"/>
      <c r="U23" s="8"/>
      <c r="V23" s="23"/>
      <c r="W23" s="23"/>
      <c r="X23" s="22"/>
    </row>
    <row r="24" spans="1:24">
      <c r="B24" s="1"/>
      <c r="C24" s="8"/>
      <c r="D24" s="23"/>
      <c r="E24" s="23"/>
      <c r="F24" s="22"/>
      <c r="L24" s="8"/>
      <c r="M24" s="23"/>
      <c r="N24" s="23"/>
      <c r="O24" s="22"/>
      <c r="T24" s="8"/>
      <c r="U24" s="8"/>
      <c r="V24" s="23"/>
      <c r="W24" s="23"/>
      <c r="X24" s="22"/>
    </row>
    <row r="25" spans="1:24">
      <c r="B25" s="1"/>
      <c r="C25" s="8"/>
      <c r="D25" s="23"/>
      <c r="E25" s="23"/>
      <c r="F25" s="22"/>
      <c r="L25" s="8"/>
      <c r="M25" s="23"/>
      <c r="N25" s="23"/>
      <c r="O25" s="22"/>
      <c r="T25" s="8"/>
      <c r="U25" s="8"/>
      <c r="V25" s="23"/>
      <c r="W25" s="23"/>
      <c r="X25" s="22"/>
    </row>
    <row r="26" spans="1:24">
      <c r="B26" s="1"/>
      <c r="C26" s="8"/>
      <c r="D26" s="23"/>
      <c r="E26" s="23"/>
      <c r="F26" s="22"/>
      <c r="L26" s="8"/>
      <c r="M26" s="23"/>
      <c r="N26" s="23"/>
      <c r="O26" s="22"/>
      <c r="T26" s="8"/>
      <c r="U26" s="8"/>
      <c r="V26" s="23"/>
      <c r="W26" s="23"/>
      <c r="X26" s="22"/>
    </row>
    <row r="27" spans="1:24">
      <c r="B27" s="1"/>
      <c r="C27" s="8"/>
      <c r="D27" s="23"/>
      <c r="E27" s="23"/>
      <c r="F27" s="22"/>
      <c r="L27" s="8"/>
      <c r="M27" s="23"/>
      <c r="N27" s="23"/>
      <c r="O27" s="22"/>
      <c r="T27" s="8"/>
      <c r="U27" s="8"/>
      <c r="V27" s="23"/>
      <c r="W27" s="23"/>
      <c r="X27" s="22"/>
    </row>
    <row r="28" spans="1:24">
      <c r="B28" s="1"/>
      <c r="C28" s="8"/>
      <c r="D28" s="23"/>
      <c r="E28" s="23"/>
      <c r="F28" s="22"/>
      <c r="L28" s="8"/>
      <c r="M28" s="23"/>
      <c r="N28" s="23"/>
      <c r="O28" s="22"/>
      <c r="T28" s="8"/>
      <c r="U28" s="8"/>
      <c r="V28" s="23"/>
      <c r="W28" s="23"/>
      <c r="X28" s="22"/>
    </row>
    <row r="29" spans="1:24">
      <c r="B29" s="1"/>
      <c r="C29" s="8"/>
      <c r="D29" s="23"/>
      <c r="E29" s="23"/>
      <c r="F29" s="22"/>
      <c r="L29" s="8"/>
      <c r="M29" s="23"/>
      <c r="N29" s="23"/>
      <c r="O29" s="22"/>
      <c r="T29" s="8"/>
      <c r="U29" s="8"/>
      <c r="V29" s="23"/>
      <c r="W29" s="23"/>
      <c r="X29" s="22"/>
    </row>
    <row r="30" spans="1:24">
      <c r="B30" s="1"/>
      <c r="C30" s="8"/>
      <c r="D30" s="23"/>
      <c r="E30" s="23"/>
      <c r="F30" s="22"/>
      <c r="L30" s="8"/>
      <c r="M30" s="23"/>
      <c r="N30" s="23"/>
      <c r="O30" s="22"/>
      <c r="T30" s="8"/>
      <c r="U30" s="8"/>
      <c r="V30" s="23"/>
      <c r="W30" s="23"/>
      <c r="X30" s="22"/>
    </row>
    <row r="31" spans="1:24">
      <c r="A31" s="8"/>
      <c r="L31" s="9"/>
      <c r="T31" s="9"/>
      <c r="U31" s="9"/>
    </row>
    <row r="32" spans="1:24">
      <c r="A32" s="8"/>
      <c r="L32" s="9"/>
      <c r="T32" s="9"/>
      <c r="U32" s="9"/>
    </row>
    <row r="33" spans="1:21">
      <c r="A33" s="8"/>
      <c r="L33" s="9"/>
      <c r="T33" s="9"/>
      <c r="U33" s="9"/>
    </row>
    <row r="34" spans="1:21">
      <c r="A34" s="8"/>
      <c r="L34" s="9"/>
      <c r="T34" s="9"/>
      <c r="U34" s="9"/>
    </row>
    <row r="35" spans="1:21">
      <c r="A35" s="8"/>
      <c r="L35" s="9"/>
      <c r="T35" s="9"/>
      <c r="U35" s="9"/>
    </row>
    <row r="36" spans="1:21">
      <c r="A36" s="8"/>
      <c r="L36" s="9"/>
      <c r="T36" s="9"/>
      <c r="U36" s="9"/>
    </row>
    <row r="37" spans="1:21">
      <c r="A37" s="8"/>
      <c r="L37" s="9"/>
      <c r="T37" s="9"/>
      <c r="U37" s="9"/>
    </row>
    <row r="38" spans="1:21">
      <c r="A38" s="8"/>
      <c r="L38" s="9"/>
      <c r="T38" s="9"/>
      <c r="U38" s="9"/>
    </row>
    <row r="39" spans="1:21">
      <c r="A39" s="8"/>
      <c r="L39" s="9"/>
      <c r="T39" s="9"/>
      <c r="U39" s="9"/>
    </row>
    <row r="40" spans="1:21">
      <c r="A40" s="8"/>
      <c r="L40" s="9"/>
      <c r="T40" s="9"/>
      <c r="U40" s="9"/>
    </row>
    <row r="41" spans="1:21">
      <c r="A41" s="8"/>
      <c r="L41" s="9"/>
      <c r="T41" s="9"/>
      <c r="U41" s="9"/>
    </row>
    <row r="42" spans="1:21">
      <c r="A42" s="8"/>
      <c r="L42" s="9"/>
      <c r="T42" s="9"/>
      <c r="U42" s="9"/>
    </row>
    <row r="43" spans="1:21">
      <c r="A43" s="8"/>
      <c r="L43" s="9"/>
      <c r="T43" s="9"/>
      <c r="U43" s="9"/>
    </row>
    <row r="44" spans="1:21">
      <c r="A44" s="8"/>
      <c r="L44" s="9"/>
      <c r="T44" s="9"/>
      <c r="U44" s="9"/>
    </row>
    <row r="45" spans="1:21">
      <c r="A45" s="8"/>
      <c r="U45" s="9"/>
    </row>
    <row r="46" spans="1:21">
      <c r="A46" s="8"/>
      <c r="U46" s="9"/>
    </row>
    <row r="47" spans="1:21">
      <c r="A47" s="8"/>
    </row>
    <row r="48" spans="1:21">
      <c r="A48" s="8"/>
    </row>
    <row r="49" spans="1:1">
      <c r="A49" s="8"/>
    </row>
    <row r="50" spans="1:1">
      <c r="A50" s="8"/>
    </row>
    <row r="51" spans="1:1">
      <c r="A51" s="8"/>
    </row>
    <row r="52" spans="1:1">
      <c r="A52" s="8"/>
    </row>
    <row r="53" spans="1:1">
      <c r="A53" s="8"/>
    </row>
    <row r="54" spans="1:1">
      <c r="A54" s="8"/>
    </row>
    <row r="55" spans="1:1">
      <c r="A55" s="8"/>
    </row>
    <row r="56" spans="1:1">
      <c r="A56" s="8"/>
    </row>
    <row r="57" spans="1:1">
      <c r="A57" s="8"/>
    </row>
    <row r="58" spans="1:1">
      <c r="A58" s="8"/>
    </row>
    <row r="59" spans="1:1">
      <c r="A59" s="8"/>
    </row>
    <row r="60" spans="1:1">
      <c r="A60" s="8"/>
    </row>
    <row r="61" spans="1:1">
      <c r="A61" s="8"/>
    </row>
    <row r="62" spans="1:1">
      <c r="A62" s="8"/>
    </row>
    <row r="63" spans="1:1">
      <c r="A63" s="8"/>
    </row>
    <row r="64" spans="1:1">
      <c r="A64" s="8"/>
    </row>
    <row r="65" spans="1:1">
      <c r="A65" s="8"/>
    </row>
    <row r="66" spans="1:1">
      <c r="A66" s="8"/>
    </row>
    <row r="67" spans="1:1">
      <c r="A67" s="8"/>
    </row>
    <row r="68" spans="1:1">
      <c r="A68" s="8"/>
    </row>
    <row r="69" spans="1:1">
      <c r="A69" s="8"/>
    </row>
    <row r="70" spans="1:1">
      <c r="A70" s="8"/>
    </row>
    <row r="71" spans="1:1">
      <c r="A71" s="8"/>
    </row>
    <row r="72" spans="1:1">
      <c r="A72" s="8"/>
    </row>
    <row r="73" spans="1:1">
      <c r="A73" s="8"/>
    </row>
    <row r="74" spans="1:1">
      <c r="A74" s="8"/>
    </row>
    <row r="75" spans="1:1">
      <c r="A75" s="8"/>
    </row>
    <row r="76" spans="1:1">
      <c r="A76" s="8"/>
    </row>
    <row r="77" spans="1:1">
      <c r="A77" s="8"/>
    </row>
    <row r="78" spans="1:1">
      <c r="A78" s="8"/>
    </row>
    <row r="79" spans="1:1">
      <c r="A79" s="8"/>
    </row>
    <row r="80" spans="1:1">
      <c r="A80" s="8"/>
    </row>
    <row r="81" spans="1:1">
      <c r="A81" s="8"/>
    </row>
    <row r="82" spans="1:1">
      <c r="A82" s="8"/>
    </row>
    <row r="83" spans="1:1">
      <c r="A83" s="8"/>
    </row>
    <row r="84" spans="1:1">
      <c r="A84" s="8"/>
    </row>
    <row r="85" spans="1:1">
      <c r="A85" s="8"/>
    </row>
    <row r="86" spans="1:1">
      <c r="A86" s="8"/>
    </row>
    <row r="87" spans="1:1">
      <c r="A87" s="8"/>
    </row>
    <row r="88" spans="1:1">
      <c r="A88" s="8"/>
    </row>
    <row r="89" spans="1:1">
      <c r="A89" s="8"/>
    </row>
    <row r="90" spans="1:1">
      <c r="A90" s="8"/>
    </row>
    <row r="91" spans="1:1">
      <c r="A91" s="8"/>
    </row>
    <row r="92" spans="1:1">
      <c r="A92" s="8"/>
    </row>
    <row r="93" spans="1:1">
      <c r="A93" s="8"/>
    </row>
    <row r="94" spans="1:1">
      <c r="A94" s="8"/>
    </row>
    <row r="95" spans="1:1">
      <c r="A95" s="8"/>
    </row>
    <row r="96" spans="1:1">
      <c r="A96" s="8"/>
    </row>
    <row r="97" spans="1:1">
      <c r="A97" s="8"/>
    </row>
    <row r="98" spans="1:1">
      <c r="A98" s="8"/>
    </row>
    <row r="99" spans="1:1">
      <c r="A99" s="8"/>
    </row>
    <row r="100" spans="1:1">
      <c r="A100" s="8"/>
    </row>
    <row r="101" spans="1:1">
      <c r="A101" s="8"/>
    </row>
    <row r="102" spans="1:1">
      <c r="A102" s="8"/>
    </row>
    <row r="103" spans="1:1">
      <c r="A103" s="8"/>
    </row>
    <row r="104" spans="1:1">
      <c r="A104" s="8"/>
    </row>
    <row r="105" spans="1:1">
      <c r="A105" s="8"/>
    </row>
    <row r="106" spans="1:1">
      <c r="A106" s="8"/>
    </row>
    <row r="107" spans="1:1">
      <c r="A107" s="8"/>
    </row>
    <row r="108" spans="1:1">
      <c r="A108" s="8"/>
    </row>
    <row r="109" spans="1:1">
      <c r="A109" s="8"/>
    </row>
    <row r="110" spans="1:1">
      <c r="A110" s="8"/>
    </row>
    <row r="111" spans="1:1">
      <c r="A111" s="8"/>
    </row>
    <row r="112" spans="1:1">
      <c r="A112" s="8"/>
    </row>
    <row r="113" spans="1:1">
      <c r="A113" s="8"/>
    </row>
    <row r="114" spans="1:1">
      <c r="A114" s="8"/>
    </row>
    <row r="115" spans="1:1">
      <c r="A115" s="8"/>
    </row>
    <row r="116" spans="1:1">
      <c r="A116" s="8"/>
    </row>
    <row r="117" spans="1:1">
      <c r="A117" s="8"/>
    </row>
    <row r="118" spans="1:1">
      <c r="A118" s="8"/>
    </row>
    <row r="119" spans="1:1">
      <c r="A119" s="8"/>
    </row>
    <row r="120" spans="1:1">
      <c r="A120" s="8"/>
    </row>
    <row r="121" spans="1:1">
      <c r="A121" s="8"/>
    </row>
    <row r="122" spans="1:1">
      <c r="A122" s="8"/>
    </row>
    <row r="123" spans="1:1">
      <c r="A123" s="8"/>
    </row>
    <row r="124" spans="1:1">
      <c r="A124" s="8"/>
    </row>
    <row r="125" spans="1:1">
      <c r="A125" s="8"/>
    </row>
    <row r="126" spans="1:1">
      <c r="A126" s="8"/>
    </row>
    <row r="127" spans="1:1">
      <c r="A127" s="8"/>
    </row>
    <row r="128" spans="1:1">
      <c r="A128" s="8"/>
    </row>
    <row r="129" spans="1:1">
      <c r="A129" s="8"/>
    </row>
    <row r="130" spans="1:1">
      <c r="A130" s="8"/>
    </row>
    <row r="131" spans="1:1">
      <c r="A131" s="8"/>
    </row>
    <row r="132" spans="1:1">
      <c r="A132" s="8"/>
    </row>
    <row r="133" spans="1:1">
      <c r="A133" s="8"/>
    </row>
    <row r="134" spans="1:1">
      <c r="A134" s="8"/>
    </row>
    <row r="135" spans="1:1">
      <c r="A135" s="8"/>
    </row>
    <row r="136" spans="1:1">
      <c r="A136" s="8"/>
    </row>
    <row r="137" spans="1:1">
      <c r="A137" s="8"/>
    </row>
    <row r="138" spans="1:1">
      <c r="A138" s="8"/>
    </row>
    <row r="139" spans="1:1">
      <c r="A139" s="8"/>
    </row>
    <row r="140" spans="1:1">
      <c r="A140" s="8"/>
    </row>
    <row r="141" spans="1:1">
      <c r="A141" s="8"/>
    </row>
    <row r="142" spans="1:1">
      <c r="A142" s="8"/>
    </row>
    <row r="143" spans="1:1">
      <c r="A143" s="8"/>
    </row>
    <row r="144" spans="1:1">
      <c r="A144" s="8"/>
    </row>
    <row r="145" spans="1:1">
      <c r="A145" s="8"/>
    </row>
    <row r="146" spans="1:1">
      <c r="A146" s="8"/>
    </row>
    <row r="147" spans="1:1">
      <c r="A147" s="8"/>
    </row>
    <row r="148" spans="1:1">
      <c r="A148" s="8"/>
    </row>
    <row r="149" spans="1:1">
      <c r="A149" s="8"/>
    </row>
  </sheetData>
  <mergeCells count="21">
    <mergeCell ref="E5:E6"/>
    <mergeCell ref="F5:F6"/>
    <mergeCell ref="A3:A4"/>
    <mergeCell ref="B3:D3"/>
    <mergeCell ref="E3:F3"/>
    <mergeCell ref="Y3:Y4"/>
    <mergeCell ref="Z3:Z4"/>
    <mergeCell ref="G3:G4"/>
    <mergeCell ref="H3:H4"/>
    <mergeCell ref="W5:W6"/>
    <mergeCell ref="X5:X6"/>
    <mergeCell ref="J3:J4"/>
    <mergeCell ref="K3:M3"/>
    <mergeCell ref="N3:O3"/>
    <mergeCell ref="P3:P4"/>
    <mergeCell ref="Q3:Q4"/>
    <mergeCell ref="N5:N6"/>
    <mergeCell ref="O5:O6"/>
    <mergeCell ref="S3:S4"/>
    <mergeCell ref="T3:V3"/>
    <mergeCell ref="W3:X3"/>
  </mergeCells>
  <phoneticPr fontId="3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>
                <anchor moveWithCells="1">
                  <from>
                    <xdr:col>0</xdr:col>
                    <xdr:colOff>266700</xdr:colOff>
                    <xdr:row>8</xdr:row>
                    <xdr:rowOff>203200</xdr:rowOff>
                  </from>
                  <to>
                    <xdr:col>1</xdr:col>
                    <xdr:colOff>317500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はさみうち</vt:lpstr>
      <vt:lpstr>はさみうち (課題用)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2020-07-22T06:39:55Z</dcterms:modified>
</cp:coreProperties>
</file>